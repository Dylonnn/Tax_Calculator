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ylon1027\Desktop\"/>
    </mc:Choice>
  </mc:AlternateContent>
  <xr:revisionPtr revIDLastSave="0" documentId="13_ncr:1_{FAF8E0A5-DD5E-4080-AB2A-54108A6992C0}" xr6:coauthVersionLast="47" xr6:coauthVersionMax="47" xr10:uidLastSave="{00000000-0000-0000-0000-000000000000}"/>
  <bookViews>
    <workbookView xWindow="-108" yWindow="-108" windowWidth="23256" windowHeight="12576" xr2:uid="{87497D8D-2A9C-4969-9754-63306D294FE4}"/>
  </bookViews>
  <sheets>
    <sheet name="Tax Relief Template" sheetId="1" r:id="rId1"/>
    <sheet name="Tax Rates" sheetId="3" r:id="rId2"/>
    <sheet name="Sample" sheetId="6" r:id="rId3"/>
  </sheets>
  <externalReferences>
    <externalReference r:id="rId4"/>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4" i="6" l="1"/>
  <c r="C34" i="1"/>
  <c r="D6" i="1" l="1"/>
  <c r="D30" i="6"/>
  <c r="D29" i="6"/>
  <c r="D20" i="6"/>
  <c r="D19" i="6"/>
  <c r="D8" i="6"/>
  <c r="D7" i="6"/>
  <c r="D6" i="6"/>
  <c r="C5" i="6"/>
  <c r="C35" i="6" l="1"/>
  <c r="C36" i="6" s="1"/>
  <c r="C44" i="6" l="1"/>
  <c r="B38" i="6" l="1"/>
  <c r="C38" i="6"/>
  <c r="C43" i="6"/>
  <c r="B39" i="6"/>
  <c r="C37" i="6"/>
  <c r="C39" i="6" s="1"/>
  <c r="C5" i="1"/>
  <c r="D8" i="1"/>
  <c r="D7" i="1"/>
  <c r="D30" i="1"/>
  <c r="D29" i="1"/>
  <c r="D19" i="1"/>
  <c r="D20" i="1"/>
  <c r="C41" i="6" l="1"/>
  <c r="C45" i="6" s="1"/>
  <c r="C35" i="1"/>
  <c r="C36" i="1" s="1"/>
  <c r="C43" i="1" l="1"/>
  <c r="C44" i="1"/>
  <c r="B39" i="1"/>
  <c r="B38" i="1"/>
  <c r="C38" i="1"/>
  <c r="C37" i="1"/>
  <c r="C39" i="1" s="1"/>
  <c r="C41" i="1" l="1"/>
  <c r="C45" i="1"/>
</calcChain>
</file>

<file path=xl/sharedStrings.xml><?xml version="1.0" encoding="utf-8"?>
<sst xmlns="http://schemas.openxmlformats.org/spreadsheetml/2006/main" count="143" uniqueCount="65">
  <si>
    <t>Annual Income</t>
  </si>
  <si>
    <t>Self Relief</t>
  </si>
  <si>
    <t>Disabled Individual</t>
  </si>
  <si>
    <t>Spouse Relief</t>
  </si>
  <si>
    <t>Disabled Spouse</t>
  </si>
  <si>
    <t>SOCSO</t>
  </si>
  <si>
    <t>EPF Amount</t>
  </si>
  <si>
    <t>Life Insurans Premiums</t>
  </si>
  <si>
    <t>Private Retirement Scheme &amp; Deferred Annuity (PRS)</t>
  </si>
  <si>
    <t>Medical or Education Insurance Premiums</t>
  </si>
  <si>
    <t>FAMILY DETAILS</t>
  </si>
  <si>
    <t>Lifestle Expenses</t>
  </si>
  <si>
    <t>Education Fees for Self</t>
  </si>
  <si>
    <t>Number of Children in Higher Education</t>
  </si>
  <si>
    <t>Total SSPN Savings</t>
  </si>
  <si>
    <t>Purchase of Supporting Equipment</t>
  </si>
  <si>
    <t>Child Care and Kindergarten Fees</t>
  </si>
  <si>
    <t>MEDICAL DETAILS</t>
  </si>
  <si>
    <t>Family Medical Examinations and Expenses</t>
  </si>
  <si>
    <t>Parental Care Medical Expenses</t>
  </si>
  <si>
    <t>Parental Care Living Fee</t>
  </si>
  <si>
    <t>Disabled Children</t>
  </si>
  <si>
    <t>Disabled Children in Higher Education</t>
  </si>
  <si>
    <t>Purchase of Breastfeeding Equipment</t>
  </si>
  <si>
    <t>SUMMARY DETAILS</t>
  </si>
  <si>
    <t>Total Annual Income</t>
  </si>
  <si>
    <t>Total Tax Relief</t>
  </si>
  <si>
    <t>NET TAX PAYABLE</t>
  </si>
  <si>
    <t>Zakat and Fitrah</t>
  </si>
  <si>
    <t>Rebate given to taxpayer</t>
  </si>
  <si>
    <t>Additional rebate for wife / husband</t>
  </si>
  <si>
    <t>Total Tax Payments (Deduct Zakat and Fitrah)</t>
  </si>
  <si>
    <t>** Lifestyle (Additional deduction for purchase)</t>
  </si>
  <si>
    <t xml:space="preserve">Total Number of Children </t>
  </si>
  <si>
    <t>CHARGEABLE INCOME</t>
  </si>
  <si>
    <t>Chargeable Income</t>
  </si>
  <si>
    <t>Calculations (RM)</t>
  </si>
  <si>
    <t>Rate %</t>
  </si>
  <si>
    <t>Tax(RM)</t>
  </si>
  <si>
    <t>On the First 5,000 </t>
  </si>
  <si>
    <t>Next 15,000 </t>
  </si>
  <si>
    <t>On the First 20,000</t>
  </si>
  <si>
    <t>On the First 35,000 </t>
  </si>
  <si>
    <t>On the First 50,000 </t>
  </si>
  <si>
    <t>Next 20,000 </t>
  </si>
  <si>
    <t>On the First 70,000 </t>
  </si>
  <si>
    <t>Next 30,000 </t>
  </si>
  <si>
    <t>On the First 100,000 </t>
  </si>
  <si>
    <t>Next 150,000</t>
  </si>
  <si>
    <t>On the First 250,000 </t>
  </si>
  <si>
    <t>Next 150,000 </t>
  </si>
  <si>
    <t>On the First 400,000 </t>
  </si>
  <si>
    <t>Next 200,000 </t>
  </si>
  <si>
    <t>50,000 </t>
  </si>
  <si>
    <t>On the First 600,000 </t>
  </si>
  <si>
    <t>Next 400,000 </t>
  </si>
  <si>
    <t>On the First 1,000,000 </t>
  </si>
  <si>
    <t>Next 1,000,000</t>
  </si>
  <si>
    <t>On the First 1,000,000</t>
  </si>
  <si>
    <t>Tax Rate</t>
  </si>
  <si>
    <t>INCOME DETAILS</t>
  </si>
  <si>
    <t>Enter values...</t>
  </si>
  <si>
    <t>--select--</t>
  </si>
  <si>
    <t>NO</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</si>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</sst>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_);_(* \(#,##0\);_(* &quot;-&quot;??_);_(@_)"/>
    <numFmt numFmtId="165" formatCode="0.0%"/>
  </numFmts>
  <fonts count="7" x14ac:knownFonts="1">
    <font>
      <sz val="11"/>
      <color theme="1"/>
      <name val="Calibri"/>
      <family val="2"/>
      <scheme val="minor"/>
    </font>
    <font>
      <b/>
      <sz val="14"/>
      <color theme="1"/>
      <name val="Calibri"/>
      <family val="2"/>
      <scheme val="minor"/>
    </font>
    <font>
      <sz val="11"/>
      <color theme="1"/>
      <name val="Calibri"/>
      <family val="2"/>
      <scheme val="minor"/>
    </font>
    <font>
      <b/>
      <sz val="11"/>
      <color theme="1"/>
      <name val="Calibri"/>
      <family val="2"/>
      <scheme val="minor"/>
    </font>
    <font>
      <sz val="12"/>
      <color indexed="8"/>
      <name val="Calibri"/>
      <family val="2"/>
    </font>
    <font>
      <b/>
      <sz val="12"/>
      <color indexed="8"/>
      <name val="Calibri"/>
      <family val="2"/>
    </font>
    <font>
      <sz val="11"/>
      <color rgb="FF000000"/>
      <name val="Calibri"/>
      <family val="2"/>
    </font>
  </fonts>
  <fills count="5">
    <fill>
      <patternFill patternType="none"/>
    </fill>
    <fill>
      <patternFill patternType="gray125"/>
    </fill>
    <fill>
      <patternFill patternType="solid">
        <fgColor theme="7" tint="0.39997558519241921"/>
        <bgColor indexed="64"/>
      </patternFill>
    </fill>
    <fill>
      <patternFill patternType="solid">
        <fgColor rgb="FFB4C6E7"/>
        <bgColor indexed="64"/>
      </patternFill>
    </fill>
    <fill>
      <patternFill patternType="solid">
        <fgColor theme="6"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9" fontId="2" fillId="0" borderId="0" applyFont="0" applyFill="0" applyBorder="0" applyAlignment="0" applyProtection="0"/>
  </cellStyleXfs>
  <cellXfs count="59">
    <xf numFmtId="0" fontId="0" fillId="0" borderId="0" xfId="0"/>
    <xf numFmtId="2" fontId="0" fillId="0" borderId="0" xfId="0" applyNumberFormat="1"/>
    <xf numFmtId="0" fontId="4" fillId="0" borderId="0" xfId="0" applyNumberFormat="1" applyFont="1" applyFill="1" applyBorder="1" applyAlignment="1" applyProtection="1"/>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right"/>
    </xf>
    <xf numFmtId="0" fontId="5" fillId="3" borderId="0" xfId="0" applyNumberFormat="1" applyFont="1" applyFill="1" applyBorder="1" applyAlignment="1" applyProtection="1">
      <alignment horizontal="center"/>
    </xf>
    <xf numFmtId="164" fontId="4" fillId="0" borderId="0" xfId="0" applyNumberFormat="1" applyFont="1" applyFill="1" applyBorder="1" applyAlignment="1" applyProtection="1">
      <alignment horizontal="center"/>
    </xf>
    <xf numFmtId="165" fontId="4" fillId="0" borderId="0" xfId="0" applyNumberFormat="1" applyFont="1" applyFill="1" applyBorder="1" applyAlignment="1" applyProtection="1">
      <alignment horizontal="center"/>
    </xf>
    <xf numFmtId="164" fontId="4" fillId="0" borderId="0" xfId="0" applyNumberFormat="1" applyFont="1" applyFill="1" applyBorder="1" applyAlignment="1" applyProtection="1">
      <alignment horizontal="right"/>
    </xf>
    <xf numFmtId="3" fontId="4" fillId="0" borderId="0" xfId="0" applyNumberFormat="1" applyFont="1" applyFill="1" applyBorder="1" applyAlignment="1" applyProtection="1"/>
    <xf numFmtId="0" fontId="0" fillId="0" borderId="0" xfId="0" applyFont="1" applyAlignment="1">
      <alignment horizontal="left"/>
    </xf>
    <xf numFmtId="0" fontId="1" fillId="2" borderId="3" xfId="0" applyFont="1" applyFill="1" applyBorder="1" applyAlignment="1">
      <alignment horizontal="right"/>
    </xf>
    <xf numFmtId="0" fontId="0" fillId="0" borderId="4" xfId="0" applyBorder="1"/>
    <xf numFmtId="0" fontId="0" fillId="0" borderId="5" xfId="0" applyBorder="1"/>
    <xf numFmtId="0" fontId="0" fillId="0" borderId="6" xfId="0" applyBorder="1"/>
    <xf numFmtId="0" fontId="3" fillId="0" borderId="4" xfId="0" applyFont="1" applyBorder="1" applyAlignment="1">
      <alignment horizontal="right"/>
    </xf>
    <xf numFmtId="0" fontId="0" fillId="0" borderId="4" xfId="0" applyFont="1" applyBorder="1" applyAlignment="1">
      <alignment horizontal="left"/>
    </xf>
    <xf numFmtId="0" fontId="0" fillId="0" borderId="6" xfId="0" applyFont="1" applyBorder="1" applyAlignment="1">
      <alignment horizontal="left"/>
    </xf>
    <xf numFmtId="0" fontId="0" fillId="0" borderId="6" xfId="0" applyBorder="1" applyAlignment="1">
      <alignment horizontal="left" vertical="top"/>
    </xf>
    <xf numFmtId="0" fontId="0" fillId="0" borderId="1" xfId="0" applyBorder="1" applyAlignment="1" applyProtection="1">
      <alignment horizontal="center" vertical="center"/>
      <protection locked="0"/>
    </xf>
    <xf numFmtId="0" fontId="0" fillId="0" borderId="1" xfId="0" applyBorder="1" applyProtection="1">
      <protection locked="0"/>
    </xf>
    <xf numFmtId="0" fontId="1" fillId="2" borderId="11" xfId="0" applyFont="1" applyFill="1" applyBorder="1" applyAlignment="1">
      <alignment horizontal="center"/>
    </xf>
    <xf numFmtId="0" fontId="1" fillId="2" borderId="12" xfId="0" applyFont="1" applyFill="1" applyBorder="1" applyAlignment="1">
      <alignment horizontal="center"/>
    </xf>
    <xf numFmtId="0" fontId="1" fillId="2" borderId="10" xfId="0" applyFont="1" applyFill="1" applyBorder="1" applyAlignment="1">
      <alignment horizontal="center"/>
    </xf>
    <xf numFmtId="0" fontId="0" fillId="0" borderId="16" xfId="0" applyBorder="1" applyProtection="1"/>
    <xf numFmtId="0" fontId="0" fillId="0" borderId="15" xfId="0" applyBorder="1" applyProtection="1"/>
    <xf numFmtId="0" fontId="0" fillId="0" borderId="1" xfId="0" applyFont="1" applyBorder="1" applyAlignment="1" applyProtection="1">
      <alignment horizontal="right"/>
      <protection locked="0"/>
    </xf>
    <xf numFmtId="0" fontId="0" fillId="0" borderId="5" xfId="0" applyFont="1" applyBorder="1" applyAlignment="1" applyProtection="1">
      <alignment horizontal="right"/>
      <protection locked="0"/>
    </xf>
    <xf numFmtId="0" fontId="0" fillId="0" borderId="1" xfId="0" applyBorder="1" applyAlignment="1" applyProtection="1">
      <alignment horizontal="right"/>
      <protection locked="0"/>
    </xf>
    <xf numFmtId="0" fontId="0" fillId="0" borderId="5" xfId="0" applyBorder="1" applyAlignment="1" applyProtection="1">
      <alignment horizontal="right"/>
      <protection locked="0"/>
    </xf>
    <xf numFmtId="0" fontId="0" fillId="0" borderId="7" xfId="0" applyBorder="1" applyAlignment="1" applyProtection="1">
      <alignment horizontal="right"/>
      <protection locked="0"/>
    </xf>
    <xf numFmtId="0" fontId="0" fillId="0" borderId="8" xfId="0" applyBorder="1" applyAlignment="1" applyProtection="1">
      <alignment horizontal="right"/>
      <protection locked="0"/>
    </xf>
    <xf numFmtId="0" fontId="0" fillId="0" borderId="16" xfId="0" applyBorder="1"/>
    <xf numFmtId="0" fontId="0" fillId="0" borderId="15" xfId="0" applyBorder="1"/>
    <xf numFmtId="0" fontId="0" fillId="0" borderId="2" xfId="0" applyBorder="1" applyAlignment="1" applyProtection="1">
      <alignment horizontal="right"/>
      <protection locked="0"/>
    </xf>
    <xf numFmtId="0" fontId="0" fillId="0" borderId="17" xfId="0" applyBorder="1" applyAlignment="1" applyProtection="1">
      <alignment horizontal="right"/>
      <protection locked="0"/>
    </xf>
    <xf numFmtId="0" fontId="0" fillId="0" borderId="16" xfId="0" applyBorder="1" applyAlignment="1" applyProtection="1">
      <alignment horizontal="right"/>
      <protection locked="0"/>
    </xf>
    <xf numFmtId="0" fontId="0" fillId="0" borderId="15" xfId="0" applyBorder="1" applyAlignment="1" applyProtection="1">
      <alignment horizontal="right"/>
      <protection locked="0"/>
    </xf>
    <xf numFmtId="0" fontId="0" fillId="0" borderId="18" xfId="0" applyBorder="1" applyAlignment="1" applyProtection="1">
      <alignment horizontal="right"/>
      <protection locked="0"/>
    </xf>
    <xf numFmtId="0" fontId="0" fillId="0" borderId="19" xfId="0" applyBorder="1" applyAlignment="1" applyProtection="1">
      <alignment horizontal="right"/>
      <protection locked="0"/>
    </xf>
    <xf numFmtId="2" fontId="0" fillId="0" borderId="16" xfId="0" applyNumberFormat="1" applyBorder="1" applyAlignment="1">
      <alignment horizontal="right"/>
    </xf>
    <xf numFmtId="2" fontId="0" fillId="0" borderId="15" xfId="0" applyNumberFormat="1" applyBorder="1" applyAlignment="1">
      <alignment horizontal="right"/>
    </xf>
    <xf numFmtId="2" fontId="1" fillId="4" borderId="18" xfId="0" applyNumberFormat="1" applyFont="1" applyFill="1" applyBorder="1"/>
    <xf numFmtId="2" fontId="1" fillId="4" borderId="19" xfId="0" applyNumberFormat="1" applyFont="1" applyFill="1" applyBorder="1"/>
    <xf numFmtId="0" fontId="0" fillId="0" borderId="13" xfId="0" applyBorder="1"/>
    <xf numFmtId="0" fontId="0" fillId="0" borderId="14" xfId="0" applyBorder="1"/>
    <xf numFmtId="0" fontId="3" fillId="0" borderId="16" xfId="0" applyFont="1" applyBorder="1" applyAlignment="1">
      <alignment horizontal="right"/>
    </xf>
    <xf numFmtId="0" fontId="3" fillId="0" borderId="15" xfId="0" applyFont="1" applyBorder="1" applyAlignment="1">
      <alignment horizontal="right"/>
    </xf>
    <xf numFmtId="9" fontId="0" fillId="0" borderId="16" xfId="1" applyFont="1" applyBorder="1" applyAlignment="1">
      <alignment horizontal="right"/>
    </xf>
    <xf numFmtId="9" fontId="0" fillId="0" borderId="15" xfId="1" applyFont="1" applyBorder="1" applyAlignment="1">
      <alignment horizontal="right"/>
    </xf>
    <xf numFmtId="2" fontId="0" fillId="0" borderId="2" xfId="0" applyNumberFormat="1" applyBorder="1"/>
    <xf numFmtId="2" fontId="0" fillId="0" borderId="17" xfId="0" applyNumberFormat="1" applyBorder="1"/>
    <xf numFmtId="2" fontId="0" fillId="0" borderId="18" xfId="0" applyNumberFormat="1" applyBorder="1" applyAlignment="1">
      <alignment horizontal="right"/>
    </xf>
    <xf numFmtId="2" fontId="0" fillId="0" borderId="19" xfId="0" applyNumberFormat="1" applyBorder="1" applyAlignment="1">
      <alignment horizontal="right"/>
    </xf>
    <xf numFmtId="2" fontId="3" fillId="0" borderId="9" xfId="0" applyNumberFormat="1" applyFont="1" applyBorder="1" applyAlignment="1">
      <alignment horizontal="right"/>
    </xf>
    <xf numFmtId="2" fontId="3" fillId="0" borderId="10" xfId="0" applyNumberFormat="1" applyFont="1" applyBorder="1" applyAlignment="1">
      <alignment horizontal="right"/>
    </xf>
    <xf numFmtId="0" fontId="0" fillId="0" borderId="2" xfId="0" applyBorder="1" applyAlignment="1">
      <alignment horizontal="right"/>
    </xf>
    <xf numFmtId="0" fontId="0" fillId="0" borderId="17" xfId="0" applyBorder="1" applyAlignment="1">
      <alignment horizontal="right"/>
    </xf>
    <xf numFmtId="0" fontId="5" fillId="3" borderId="0" xfId="0" applyNumberFormat="1" applyFont="1" applyFill="1" applyBorder="1" applyAlignment="1" applyProtection="1">
      <alignment horizontal="center"/>
    </xf>
  </cellXfs>
  <cellStyles count="2">
    <cellStyle name="Normal" xfId="0" builtinId="0"/>
    <cellStyle name="Percent" xfId="1" builtinId="5"/>
  </cellStyles>
  <dxfs count="6">
    <dxf>
      <fill>
        <patternFill>
          <bgColor rgb="FFFF0000"/>
        </patternFill>
      </fill>
    </dxf>
    <dxf>
      <fill>
        <patternFill>
          <bgColor theme="9"/>
        </patternFill>
      </fill>
    </dxf>
    <dxf>
      <fill>
        <patternFill>
          <bgColor theme="9"/>
        </patternFill>
      </fill>
    </dxf>
    <dxf>
      <fill>
        <patternFill>
          <bgColor rgb="FFFF0000"/>
        </patternFill>
      </fill>
    </dxf>
    <dxf>
      <fill>
        <patternFill>
          <bgColor theme="9"/>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563880</xdr:colOff>
          <xdr:row>45</xdr:row>
          <xdr:rowOff>144780</xdr:rowOff>
        </xdr:from>
        <xdr:to>
          <xdr:col>4</xdr:col>
          <xdr:colOff>15240</xdr:colOff>
          <xdr:row>47</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CLEAR</a:t>
              </a:r>
            </a:p>
            <a:p>
              <a:pPr algn="ctr" rtl="0">
                <a:defRPr sz="1000"/>
              </a:pPr>
              <a:r>
                <a:rPr lang="en-MY" sz="1100" b="0" i="0" u="none" strike="noStrike" baseline="0">
                  <a:solidFill>
                    <a:srgbClr val="000000"/>
                  </a:solidFill>
                  <a:latin typeface="Calibri"/>
                  <a:cs typeface="Calibri"/>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601980</xdr:colOff>
          <xdr:row>45</xdr:row>
          <xdr:rowOff>167640</xdr:rowOff>
        </xdr:from>
        <xdr:to>
          <xdr:col>4</xdr:col>
          <xdr:colOff>38100</xdr:colOff>
          <xdr:row>47</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emplate"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B0CB7-E56F-4316-B466-0BFEADE6CA58}">
  <sheetPr codeName="Sheet1"/>
  <dimension ref="B1:D45"/>
  <sheetViews>
    <sheetView tabSelected="1" zoomScaleNormal="100" workbookViewId="0">
      <selection activeCell="B4" sqref="B4:D4"/>
    </sheetView>
  </sheetViews>
  <sheetFormatPr defaultRowHeight="14.4" x14ac:dyDescent="0.3"/>
  <cols>
    <col min="2" max="2" width="44.44140625" bestFit="1" customWidth="1"/>
    <col min="3" max="3" width="8.44140625" bestFit="1" customWidth="1"/>
    <col min="4" max="4" width="22.33203125" customWidth="1"/>
  </cols>
  <sheetData>
    <row r="1" spans="2:4" ht="15" thickBot="1" x14ac:dyDescent="0.35"/>
    <row r="2" spans="2:4" ht="18" x14ac:dyDescent="0.35">
      <c r="B2" s="21" t="s">
        <v>60</v>
      </c>
      <c r="C2" s="22"/>
      <c r="D2" s="23"/>
    </row>
    <row r="3" spans="2:4" x14ac:dyDescent="0.3">
      <c r="B3" s="12" t="s">
        <v>0</v>
      </c>
      <c r="C3" s="36" t="s">
        <v>61</v>
      </c>
      <c r="D3" s="37"/>
    </row>
    <row r="4" spans="2:4" x14ac:dyDescent="0.3">
      <c r="B4" s="44"/>
      <c r="C4" s="45"/>
      <c r="D4" s="33"/>
    </row>
    <row r="5" spans="2:4" x14ac:dyDescent="0.3">
      <c r="B5" s="12" t="s">
        <v>1</v>
      </c>
      <c r="C5" s="24">
        <f>9000</f>
        <v>9000</v>
      </c>
      <c r="D5" s="25"/>
    </row>
    <row r="6" spans="2:4" x14ac:dyDescent="0.3">
      <c r="B6" s="12" t="s">
        <v>2</v>
      </c>
      <c r="C6" s="19" t="s">
        <v>62</v>
      </c>
      <c r="D6" s="13">
        <f>IF(C6="YES",6000,IF(C6="NO",0,0))</f>
        <v>0</v>
      </c>
    </row>
    <row r="7" spans="2:4" x14ac:dyDescent="0.3">
      <c r="B7" s="12" t="s">
        <v>3</v>
      </c>
      <c r="C7" s="19" t="s">
        <v>62</v>
      </c>
      <c r="D7" s="13">
        <f>IF(C7="YES",4000,IF(C7="NO",0,0))</f>
        <v>0</v>
      </c>
    </row>
    <row r="8" spans="2:4" x14ac:dyDescent="0.3">
      <c r="B8" s="12" t="s">
        <v>4</v>
      </c>
      <c r="C8" s="19" t="s">
        <v>62</v>
      </c>
      <c r="D8" s="13">
        <f>IF(C8="YES",3500,IF(C8="NO",0,0))</f>
        <v>0</v>
      </c>
    </row>
    <row r="9" spans="2:4" x14ac:dyDescent="0.3">
      <c r="B9" s="12" t="s">
        <v>5</v>
      </c>
      <c r="C9" s="26" t="s">
        <v>61</v>
      </c>
      <c r="D9" s="27"/>
    </row>
    <row r="10" spans="2:4" x14ac:dyDescent="0.3">
      <c r="B10" s="12" t="s">
        <v>6</v>
      </c>
      <c r="C10" s="28" t="s">
        <v>61</v>
      </c>
      <c r="D10" s="29"/>
    </row>
    <row r="11" spans="2:4" x14ac:dyDescent="0.3">
      <c r="B11" s="12" t="s">
        <v>7</v>
      </c>
      <c r="C11" s="28" t="s">
        <v>61</v>
      </c>
      <c r="D11" s="29"/>
    </row>
    <row r="12" spans="2:4" x14ac:dyDescent="0.3">
      <c r="B12" s="12" t="s">
        <v>8</v>
      </c>
      <c r="C12" s="28" t="s">
        <v>61</v>
      </c>
      <c r="D12" s="29"/>
    </row>
    <row r="13" spans="2:4" ht="15" thickBot="1" x14ac:dyDescent="0.35">
      <c r="B13" s="14" t="s">
        <v>9</v>
      </c>
      <c r="C13" s="30" t="s">
        <v>61</v>
      </c>
      <c r="D13" s="31"/>
    </row>
    <row r="14" spans="2:4" ht="15" thickBot="1" x14ac:dyDescent="0.35"/>
    <row r="15" spans="2:4" ht="18" x14ac:dyDescent="0.35">
      <c r="B15" s="21" t="s">
        <v>10</v>
      </c>
      <c r="C15" s="22"/>
      <c r="D15" s="23"/>
    </row>
    <row r="16" spans="2:4" x14ac:dyDescent="0.3">
      <c r="B16" s="12" t="s">
        <v>11</v>
      </c>
      <c r="C16" s="34" t="s">
        <v>61</v>
      </c>
      <c r="D16" s="35"/>
    </row>
    <row r="17" spans="2:4" x14ac:dyDescent="0.3">
      <c r="B17" s="12" t="s">
        <v>32</v>
      </c>
      <c r="C17" s="36" t="s">
        <v>61</v>
      </c>
      <c r="D17" s="37"/>
    </row>
    <row r="18" spans="2:4" x14ac:dyDescent="0.3">
      <c r="B18" s="12" t="s">
        <v>12</v>
      </c>
      <c r="C18" s="36" t="s">
        <v>61</v>
      </c>
      <c r="D18" s="37"/>
    </row>
    <row r="19" spans="2:4" x14ac:dyDescent="0.3">
      <c r="B19" s="12" t="s">
        <v>33</v>
      </c>
      <c r="C19" s="20" t="s">
        <v>62</v>
      </c>
      <c r="D19" s="13">
        <f>IF(ISNUMBER(C19), C19*2000,0)</f>
        <v>0</v>
      </c>
    </row>
    <row r="20" spans="2:4" x14ac:dyDescent="0.3">
      <c r="B20" s="12" t="s">
        <v>13</v>
      </c>
      <c r="C20" s="20" t="s">
        <v>62</v>
      </c>
      <c r="D20" s="13">
        <f>IF(ISNUMBER(C20), C20*8000,0)</f>
        <v>0</v>
      </c>
    </row>
    <row r="21" spans="2:4" x14ac:dyDescent="0.3">
      <c r="B21" s="12" t="s">
        <v>14</v>
      </c>
      <c r="C21" s="34" t="s">
        <v>61</v>
      </c>
      <c r="D21" s="35"/>
    </row>
    <row r="22" spans="2:4" x14ac:dyDescent="0.3">
      <c r="B22" s="12" t="s">
        <v>15</v>
      </c>
      <c r="C22" s="34" t="s">
        <v>61</v>
      </c>
      <c r="D22" s="35"/>
    </row>
    <row r="23" spans="2:4" ht="15" thickBot="1" x14ac:dyDescent="0.35">
      <c r="B23" s="14" t="s">
        <v>16</v>
      </c>
      <c r="C23" s="38" t="s">
        <v>61</v>
      </c>
      <c r="D23" s="39"/>
    </row>
    <row r="24" spans="2:4" ht="15" thickBot="1" x14ac:dyDescent="0.35"/>
    <row r="25" spans="2:4" ht="18" x14ac:dyDescent="0.35">
      <c r="B25" s="21" t="s">
        <v>17</v>
      </c>
      <c r="C25" s="22"/>
      <c r="D25" s="23"/>
    </row>
    <row r="26" spans="2:4" x14ac:dyDescent="0.3">
      <c r="B26" s="12" t="s">
        <v>18</v>
      </c>
      <c r="C26" s="36" t="s">
        <v>61</v>
      </c>
      <c r="D26" s="37"/>
    </row>
    <row r="27" spans="2:4" x14ac:dyDescent="0.3">
      <c r="B27" s="12" t="s">
        <v>19</v>
      </c>
      <c r="C27" s="36" t="s">
        <v>61</v>
      </c>
      <c r="D27" s="37"/>
    </row>
    <row r="28" spans="2:4" x14ac:dyDescent="0.3">
      <c r="B28" s="12" t="s">
        <v>20</v>
      </c>
      <c r="C28" s="36" t="s">
        <v>61</v>
      </c>
      <c r="D28" s="37"/>
    </row>
    <row r="29" spans="2:4" x14ac:dyDescent="0.3">
      <c r="B29" s="12" t="s">
        <v>21</v>
      </c>
      <c r="C29" s="20" t="s">
        <v>62</v>
      </c>
      <c r="D29" s="13">
        <f>IF(ISNUMBER(C29), C29*6000,0)</f>
        <v>0</v>
      </c>
    </row>
    <row r="30" spans="2:4" x14ac:dyDescent="0.3">
      <c r="B30" s="12" t="s">
        <v>22</v>
      </c>
      <c r="C30" s="20" t="s">
        <v>62</v>
      </c>
      <c r="D30" s="13">
        <f>IF(ISNUMBER(C30), C30*14000,0)</f>
        <v>0</v>
      </c>
    </row>
    <row r="31" spans="2:4" ht="15" thickBot="1" x14ac:dyDescent="0.35">
      <c r="B31" s="14" t="s">
        <v>23</v>
      </c>
      <c r="C31" s="38" t="s">
        <v>61</v>
      </c>
      <c r="D31" s="39"/>
    </row>
    <row r="32" spans="2:4" ht="15" thickBot="1" x14ac:dyDescent="0.35"/>
    <row r="33" spans="2:4" ht="18" x14ac:dyDescent="0.35">
      <c r="B33" s="21" t="s">
        <v>24</v>
      </c>
      <c r="C33" s="22"/>
      <c r="D33" s="23"/>
    </row>
    <row r="34" spans="2:4" x14ac:dyDescent="0.3">
      <c r="B34" s="12" t="s">
        <v>25</v>
      </c>
      <c r="C34" s="56">
        <f>SUM(C3)</f>
        <v>0</v>
      </c>
      <c r="D34" s="57"/>
    </row>
    <row r="35" spans="2:4" x14ac:dyDescent="0.3">
      <c r="B35" s="12" t="s">
        <v>26</v>
      </c>
      <c r="C35" s="32">
        <f>IF(C3&lt;&gt;0,SUM(C5,D6:D8,C9:D13,C16:D18,D19:D20,C21:D23,C26:D28,D29:D30,C31),0)</f>
        <v>9000</v>
      </c>
      <c r="D35" s="33"/>
    </row>
    <row r="36" spans="2:4" x14ac:dyDescent="0.3">
      <c r="B36" s="15" t="s">
        <v>34</v>
      </c>
      <c r="C36" s="46">
        <f>IF((C34-C35)&lt;0,0,C34-C35)</f>
        <v>0</v>
      </c>
      <c r="D36" s="47"/>
    </row>
    <row r="37" spans="2:4" x14ac:dyDescent="0.3">
      <c r="B37" s="16" t="s">
        <v>59</v>
      </c>
      <c r="C37" s="48">
        <f>IFERROR(LOOKUP(C36,'Tax Rates'!B2:B34,'Tax Rates'!E2:E34),"")</f>
        <v>0</v>
      </c>
      <c r="D37" s="49"/>
    </row>
    <row r="38" spans="2:4" x14ac:dyDescent="0.3">
      <c r="B38" s="16" t="str">
        <f>IFERROR(LOOKUP(C36,'Tax Rates'!C2:C32,'Tax Rates'!D2:D32),"")</f>
        <v/>
      </c>
      <c r="C38" s="50">
        <f>IFERROR(LOOKUP(C36,'Tax Rates'!C2:C32,'Tax Rates'!F2:F34),0)</f>
        <v>0</v>
      </c>
      <c r="D38" s="51"/>
    </row>
    <row r="39" spans="2:4" ht="15" thickBot="1" x14ac:dyDescent="0.35">
      <c r="B39" s="17" t="str">
        <f>IFERROR(LOOKUP(C36,'Tax Rates'!B3:B33,'Tax Rates'!D3:D33),"")</f>
        <v/>
      </c>
      <c r="C39" s="52">
        <f>IFERROR(IF(((C36-INDEX('Tax Rates'!B2:B34,MATCH(Tax Relief [1]Template!C37,'Tax Rates'!E2:E34,0)))*C37)&gt;0,((C36-INDEX('Tax Rates'!B2:B34,MATCH(Tax Relief [1]Template!C37,'Tax Rates'!E2:E34,0))+1)*C37),0),0)</f>
        <v>0</v>
      </c>
      <c r="D39" s="53"/>
    </row>
    <row r="40" spans="2:4" ht="15" thickBot="1" x14ac:dyDescent="0.35">
      <c r="B40" s="10"/>
      <c r="D40" s="1"/>
    </row>
    <row r="41" spans="2:4" ht="18" x14ac:dyDescent="0.35">
      <c r="B41" s="11" t="s">
        <v>27</v>
      </c>
      <c r="C41" s="54">
        <f>SUM(C38:D39)</f>
        <v>0</v>
      </c>
      <c r="D41" s="55"/>
    </row>
    <row r="42" spans="2:4" x14ac:dyDescent="0.3">
      <c r="B42" s="12" t="s">
        <v>28</v>
      </c>
      <c r="C42" s="36" t="s">
        <v>61</v>
      </c>
      <c r="D42" s="37"/>
    </row>
    <row r="43" spans="2:4" x14ac:dyDescent="0.3">
      <c r="B43" s="12" t="s">
        <v>29</v>
      </c>
      <c r="C43" s="40">
        <f>IF(C36=0,0,IF(AND(C36&gt;0,C36&lt;=35000),400,0))</f>
        <v>0</v>
      </c>
      <c r="D43" s="41"/>
    </row>
    <row r="44" spans="2:4" x14ac:dyDescent="0.3">
      <c r="B44" s="12" t="s">
        <v>30</v>
      </c>
      <c r="C44" s="40">
        <f>IF(AND(C36&lt;=35000,C7="YES"),400,0)</f>
        <v>0</v>
      </c>
      <c r="D44" s="41"/>
    </row>
    <row r="45" spans="2:4" ht="18.600000000000001" thickBot="1" x14ac:dyDescent="0.4">
      <c r="B45" s="18" t="s">
        <v>31</v>
      </c>
      <c r="C45" s="42">
        <f>IF(SUM(C42:D44)&gt;C41,0,C41-SUM(C42:D44))</f>
        <v>0</v>
      </c>
      <c r="D45" s="43"/>
    </row>
  </sheetData>
  <sheetProtection sheet="1" objects="1" scenarios="1"/>
  <mergeCells count="33">
    <mergeCell ref="C44:D44"/>
    <mergeCell ref="C45:D45"/>
    <mergeCell ref="C3:D3"/>
    <mergeCell ref="B4:D4"/>
    <mergeCell ref="C36:D36"/>
    <mergeCell ref="C37:D37"/>
    <mergeCell ref="C38:D38"/>
    <mergeCell ref="C39:D39"/>
    <mergeCell ref="C41:D41"/>
    <mergeCell ref="C42:D42"/>
    <mergeCell ref="C43:D43"/>
    <mergeCell ref="C26:D26"/>
    <mergeCell ref="C27:D27"/>
    <mergeCell ref="C28:D28"/>
    <mergeCell ref="C31:D31"/>
    <mergeCell ref="C34:D34"/>
    <mergeCell ref="C35:D35"/>
    <mergeCell ref="C16:D16"/>
    <mergeCell ref="C17:D17"/>
    <mergeCell ref="C18:D18"/>
    <mergeCell ref="C21:D21"/>
    <mergeCell ref="C22:D22"/>
    <mergeCell ref="C23:D23"/>
    <mergeCell ref="B2:D2"/>
    <mergeCell ref="B15:D15"/>
    <mergeCell ref="B25:D25"/>
    <mergeCell ref="B33:D33"/>
    <mergeCell ref="C5:D5"/>
    <mergeCell ref="C9:D9"/>
    <mergeCell ref="C10:D10"/>
    <mergeCell ref="C11:D11"/>
    <mergeCell ref="C12:D12"/>
    <mergeCell ref="C13:D13"/>
  </mergeCells>
  <conditionalFormatting sqref="C6:C8">
    <cfRule type="expression" dxfId="5" priority="2">
      <formula>$C6="YES"</formula>
    </cfRule>
    <cfRule type="expression" dxfId="4" priority="3">
      <formula>$C2="YES"</formula>
    </cfRule>
  </conditionalFormatting>
  <conditionalFormatting sqref="C6:C8">
    <cfRule type="expression" dxfId="3" priority="1">
      <formula>C6="NO"</formula>
    </cfRule>
  </conditionalFormatting>
  <dataValidations count="27">
    <dataValidation type="list" allowBlank="1" showInputMessage="1" showErrorMessage="1" error="Please select YES/NO" prompt="Select YES if your spouse has any disabilities for tax relief of RM3,500" sqref="C8" xr:uid="{288D2D2A-3077-4155-99A7-DF0080239E92}">
      <formula1>"YES,NO"</formula1>
    </dataValidation>
    <dataValidation type="decimal" allowBlank="1" showInputMessage="1" showErrorMessage="1" errorTitle="Please Change the Amount" error="Maximum SOSCO is RM250" prompt="Up to RM250 in tax relief for SOCSO" sqref="C9" xr:uid="{AF11DDE0-4563-4B26-911A-40B17CE8D199}">
      <formula1>0</formula1>
      <formula2>250</formula2>
    </dataValidation>
    <dataValidation type="decimal" allowBlank="1" showInputMessage="1" showErrorMessage="1" errorTitle="Please Change the Amount" error="Maximum EPF Amount is RM4,000" prompt="Up to RM4,000 in tax relief for EPF" sqref="C10" xr:uid="{EFF91C6D-FC0E-4840-B48C-CC72F8BA7F3E}">
      <formula1>0</formula1>
      <formula2>4000</formula2>
    </dataValidation>
    <dataValidation type="decimal" allowBlank="1" showInputMessage="1" showErrorMessage="1" error="Maximun Child Care and Kindergarten Fees is RM2,000" prompt="Up to RM2,000 in tax relief for child care cost and kindergarten enrolment" sqref="C23" xr:uid="{AB13DCA1-0792-4FB2-B658-F1BCE5353984}">
      <formula1>0</formula1>
      <formula2>2000</formula2>
    </dataValidation>
    <dataValidation type="custom" allowBlank="1" showInputMessage="1" showErrorMessage="1" error="Maximun Parental Care Living Fee is RM3,000 (Both Parent) or RM1,500 (Either Parent) / You can only claim for either one relief for C27 or C28._x000a_ _x000a_Enter amount 0 or click CANCEL if you have enter an amount for cell C27." prompt="Up to RM1,500 (Either Parent) / Up to RM3,000 (Both Parent) - If more than one individual claim this deduction, the amount of deduction has to be equally apportioned. Each parent annual income does NOT exceed RM24,000" sqref="C28:D28" xr:uid="{2B37207E-67B1-4AF9-B3B6-DD20336C4359}">
      <formula1>OR(AND(C28&lt;=3000, NOT(ISNUMBER(C27))), AND(C28&lt;=3000,C27=0))</formula1>
    </dataValidation>
    <dataValidation type="decimal" allowBlank="1" showInputMessage="1" showErrorMessage="1" error="Maximum Purchase of Breastfeeding Equipment is RM1,000" prompt="Up to RM1,000 in tax relief for breastfeeding equipment costs (applicable to working women with child aged up to 2 years and can be claimed once every 2 years)" sqref="C31" xr:uid="{3F885036-3E54-40BB-8578-3A619CB6B893}">
      <formula1>0</formula1>
      <formula2>1000</formula2>
    </dataValidation>
    <dataValidation allowBlank="1" showInputMessage="1" showErrorMessage="1" prompt="RM9,000 in tax relief for Self Relief" sqref="C5" xr:uid="{73CF3362-5C9D-4FF7-A4FA-781C401E3BF4}"/>
    <dataValidation type="list" allowBlank="1" showInputMessage="1" showErrorMessage="1" error="Please select YES/NO" prompt="Select YES if you have any disabilities for tax relief of RM6,000" sqref="C6" xr:uid="{6EE0C8B1-6DFC-413D-94DE-8D55116DF9E5}">
      <formula1>"YES,NO"</formula1>
    </dataValidation>
    <dataValidation type="list" allowBlank="1" showInputMessage="1" showErrorMessage="1" error="Please select YES/NO" prompt="Select YES if your spouse no working or elects for combined assesment for tax relief of RM4,000" sqref="C7" xr:uid="{8C6A8D7A-548F-4E0D-AAC7-341225D17968}">
      <formula1>"YES,NO"</formula1>
    </dataValidation>
    <dataValidation type="decimal" allowBlank="1" showInputMessage="1" showErrorMessage="1" errorTitle="Please Change the Amount" error="Maximum Life Insurance Premiums is RM3,000" prompt="Up to RM3,000 - Total premiums paid for life insurance" sqref="C11" xr:uid="{94921583-0BA7-4561-A5C9-E933DC815EAA}">
      <formula1>0</formula1>
      <formula2>3000</formula2>
    </dataValidation>
    <dataValidation type="decimal" allowBlank="1" showInputMessage="1" showErrorMessage="1" errorTitle="Please Change the Amount" error="Maximun Private Retirement Scheme &amp; Deferred Annuity (PRS) is RM3,000" prompt="Up to RM3,000 - Private retirement scheme and deferred annuity (PRS) approved by the Securities Commission" sqref="C12" xr:uid="{77017C0F-FD55-43F2-8EAE-980EF40C1F0F}">
      <formula1>0</formula1>
      <formula2>3000</formula2>
    </dataValidation>
    <dataValidation type="decimal" allowBlank="1" showInputMessage="1" showErrorMessage="1" errorTitle="Please Change the Amount" error="Maximun Medical or Education Insurance Premiums is RM3,000" prompt="Up to RM3,000 - Total premiums paid for medical and education insurance" sqref="C13" xr:uid="{340D3B05-D026-4A66-8BD0-2F71E0E30EE3}">
      <formula1>0</formula1>
      <formula2>3000</formula2>
    </dataValidation>
    <dataValidation type="decimal" allowBlank="1" showInputMessage="1" showErrorMessage="1" error="Maximun Education Fees for Self is RM7,000" prompt="Up to RM7,000 - For professional and techincal qualication courses or Masters and PHD in any field" sqref="C18" xr:uid="{01900EEB-80DA-4838-B7D3-39413622BD84}">
      <formula1>0</formula1>
      <formula2>7000</formula2>
    </dataValidation>
    <dataValidation type="decimal" allowBlank="1" showInputMessage="1" showErrorMessage="1" error="Maximun Lifestyle Expenses is RM2,500" prompt="Up to RM2,500 - Books and magazines, PC or smartphone, sports quipment or gym membership, internet subscription" sqref="C16" xr:uid="{B478D45D-C0D6-418A-BEE6-A055A3F3DA17}">
      <formula1>0</formula1>
      <formula2>2500</formula2>
    </dataValidation>
    <dataValidation type="decimal" allowBlank="1" showInputMessage="1" showErrorMessage="1" error="Maximun Additional Deduction is RM2,500" promptTitle="Additional deduction" prompt="Up to RM2,500 - PC, smartphone or tablet for self, spouse or child and not for business use" sqref="C17" xr:uid="{392900D4-04E5-45AA-8CE2-7364DDF467A1}">
      <formula1>0</formula1>
      <formula2>2500</formula2>
    </dataValidation>
    <dataValidation type="list" allowBlank="1" showInputMessage="1" showErrorMessage="1" error="Please select a number" prompt="Only include children aobve the age of 18 that are not married and studying full time for their diploma (locally) or degree (overseas) or higher, additional tax relief of RM8,000 for each" sqref="C20" xr:uid="{E45C037B-17BD-49C5-8869-9B9CD2DAA6F3}">
      <formula1>"0,1,2,3,4,5,6,7,8,9,10,11,12,13,14,15"</formula1>
    </dataValidation>
    <dataValidation type="list" allowBlank="1" showInputMessage="1" showErrorMessage="1" error="Please select a number" prompt="Include all children below the age of 18. For children above the age of 18, only include if they are not married and still studying full time, tax relief of RM2,000 for each" sqref="C19" xr:uid="{185A4568-60CF-4CA6-9051-71D95CEC9F6B}">
      <formula1>"0,1,2,3,4,5,6,7,8,9,10,11,12,13,14,15"</formula1>
    </dataValidation>
    <dataValidation type="decimal" allowBlank="1" showInputMessage="1" showErrorMessage="1" error="Maximun Total SSPN Savings is RM8,000" prompt="Up to RM8,000 - Net savings with SSPN for your children's higher education with PTPTN" sqref="C21" xr:uid="{8CE3A3DB-8ED2-4B4C-9387-E60BA664E48C}">
      <formula1>0</formula1>
      <formula2>8000</formula2>
    </dataValidation>
    <dataValidation type="decimal" allowBlank="1" showInputMessage="1" showErrorMessage="1" error="Maximun Purchase of Supporting Equipment is RM6,000" prompt="Up to RM6,000 - For cost of basic supporting equipment for disabled individual (self, spouse, child or parent)" sqref="C22" xr:uid="{FA1FE342-A207-421C-BDBA-E5D00F0FF2F2}">
      <formula1>0</formula1>
      <formula2>6000</formula2>
    </dataValidation>
    <dataValidation type="decimal" allowBlank="1" showInputMessage="1" showErrorMessage="1" error="Maximun Family Medical Examinations and Expenses is RM6,000" prompt="Up to RM6,000 - Total cost of medical examinations(Max RM500) and hospital bills for serious diseases for self, spouse and children (expanded to cover the cost of fertility treatment for married couples)" sqref="C26" xr:uid="{6A7B355C-3A5C-46F3-9616-495C7E97505A}">
      <formula1>0</formula1>
      <formula2>6000</formula2>
    </dataValidation>
    <dataValidation type="list" allowBlank="1" showInputMessage="1" showErrorMessage="1" error="Please select a number" prompt="Only include disable children above the age of 18 that are not married and studying full time for their diploma (locally) or degree (overseas) or higher, addistional tax relief of RM14,000 for each" sqref="C30" xr:uid="{9D92A196-24EC-4E37-9580-74488FF9C39D}">
      <formula1>"0,1,2,3,4,5,6,7,8,9,10,11,12,13,14,15"</formula1>
    </dataValidation>
    <dataValidation type="list" allowBlank="1" showInputMessage="1" showErrorMessage="1" error="Please select a number" prompt="Select number of children that have any disabilities for additional tax relief of RM6,000 for each unmarried child" sqref="C29" xr:uid="{1787C1FE-4A87-4E92-9C68-028FBE4F20DD}">
      <formula1>"0,1,2,3,4,5,6,7,8,9,10,11,12,13,14,15"</formula1>
    </dataValidation>
    <dataValidation allowBlank="1" showInputMessage="1" prompt="Total Zakat and Fitrah contributions in 2019" sqref="C42" xr:uid="{5FD9751B-0309-4C44-AC2C-C9BF79F5BB56}"/>
    <dataValidation allowBlank="1" showInputMessage="1" showErrorMessage="1" prompt="A rebate of Max RM400 is granted to an individual whose chargeable income does not exceed RM35,000" sqref="C43" xr:uid="{77DB5E3C-3F65-4313-B84D-F4FE1B000BF2}"/>
    <dataValidation allowBlank="1" showInputMessage="1" showErrorMessage="1" prompt="Additional rebate of Max RM400 is granted to an individual whose chargeable income does not exceed RM35,000 and where he/she has been allowed a deduction of RM4,000 for the spouse and elects for combined assessment" sqref="C44:D44" xr:uid="{FD10C8FD-7280-473D-892F-4B21D4E397E0}"/>
    <dataValidation allowBlank="1" showInputMessage="1" showErrorMessage="1" prompt="Enter your annual income" sqref="C3:D3" xr:uid="{CE619E43-1D3A-431F-8E37-0A2C61DE0CC3}"/>
    <dataValidation type="custom" allowBlank="1" showInputMessage="1" showErrorMessage="1" error="Maximun Parental Care Medical Expenses is RM5,000 / You can only claim for either one relief for C27 or C28._x000a_ _x000a_Enter amount 0 or click CANCEL if you have enter an amount for cell C28." prompt="Up to RM5,000 - Medical expenses and nursing care for own parents" sqref="C27:D27" xr:uid="{1A6713B1-5C4E-47A3-A1EA-F924300084D0}">
      <formula1>OR(AND(C27&lt;=5000, NOT(ISNUMBER(C28))), AND(C27&lt;=5000, C28=0))</formula1>
    </dataValidation>
  </dataValidations>
  <pageMargins left="0.7" right="0.7" top="0.75" bottom="0.75" header="0.3" footer="0.3"/>
  <ignoredErrors>
    <ignoredError sqref="D18 D23 D16 D17 D21 D22 D26"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Module1.btnReset">
                <anchor moveWithCells="1" sizeWithCells="1">
                  <from>
                    <xdr:col>2</xdr:col>
                    <xdr:colOff>563880</xdr:colOff>
                    <xdr:row>45</xdr:row>
                    <xdr:rowOff>144780</xdr:rowOff>
                  </from>
                  <to>
                    <xdr:col>4</xdr:col>
                    <xdr:colOff>15240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860C5-07AA-4D30-8A94-E2B24EEE8A18}">
  <sheetPr codeName="Sheet2"/>
  <dimension ref="B1:F34"/>
  <sheetViews>
    <sheetView topLeftCell="A7" workbookViewId="0">
      <selection activeCell="F8" sqref="F8"/>
    </sheetView>
  </sheetViews>
  <sheetFormatPr defaultRowHeight="14.4" x14ac:dyDescent="0.3"/>
  <cols>
    <col min="2" max="3" width="11.21875" bestFit="1" customWidth="1"/>
    <col min="4" max="4" width="22.21875" bestFit="1" customWidth="1"/>
    <col min="5" max="5" width="9.33203125" customWidth="1"/>
    <col min="6" max="6" width="15.109375" customWidth="1"/>
  </cols>
  <sheetData>
    <row r="1" spans="2:6" ht="15.6" x14ac:dyDescent="0.3">
      <c r="B1" s="58" t="s">
        <v>35</v>
      </c>
      <c r="C1" s="58"/>
      <c r="D1" s="5" t="s">
        <v>36</v>
      </c>
      <c r="E1" s="5" t="s">
        <v>37</v>
      </c>
      <c r="F1" s="5" t="s">
        <v>38</v>
      </c>
    </row>
    <row r="2" spans="2:6" ht="15.6" x14ac:dyDescent="0.3">
      <c r="B2" s="6">
        <v>0</v>
      </c>
      <c r="C2" s="6">
        <v>5000</v>
      </c>
      <c r="D2" s="2" t="s">
        <v>39</v>
      </c>
      <c r="E2" s="7">
        <v>0</v>
      </c>
      <c r="F2" s="8">
        <v>0</v>
      </c>
    </row>
    <row r="3" spans="2:6" ht="15.6" x14ac:dyDescent="0.3">
      <c r="B3" s="6"/>
      <c r="C3" s="6"/>
      <c r="D3" s="2"/>
      <c r="E3" s="7"/>
      <c r="F3" s="8"/>
    </row>
    <row r="4" spans="2:6" ht="15.6" x14ac:dyDescent="0.3">
      <c r="B4" s="6">
        <v>5001</v>
      </c>
      <c r="C4" s="2"/>
      <c r="D4" s="2" t="s">
        <v>40</v>
      </c>
      <c r="E4" s="7">
        <v>0.01</v>
      </c>
      <c r="F4" s="8">
        <v>150</v>
      </c>
    </row>
    <row r="5" spans="2:6" ht="15.6" x14ac:dyDescent="0.3">
      <c r="B5" s="6"/>
      <c r="C5" s="6">
        <v>20000.990000000002</v>
      </c>
      <c r="D5" s="2" t="s">
        <v>41</v>
      </c>
      <c r="E5" s="7">
        <v>0.01</v>
      </c>
      <c r="F5" s="8">
        <v>150</v>
      </c>
    </row>
    <row r="6" spans="2:6" ht="15.6" x14ac:dyDescent="0.3">
      <c r="B6" s="6"/>
      <c r="C6" s="6"/>
      <c r="D6" s="2"/>
      <c r="E6" s="7"/>
      <c r="F6" s="8"/>
    </row>
    <row r="7" spans="2:6" ht="15.6" x14ac:dyDescent="0.3">
      <c r="B7" s="6">
        <v>20001</v>
      </c>
      <c r="C7" s="6"/>
      <c r="D7" s="2" t="s">
        <v>40</v>
      </c>
      <c r="E7" s="7">
        <v>0.03</v>
      </c>
      <c r="F7" s="8">
        <v>450</v>
      </c>
    </row>
    <row r="8" spans="2:6" ht="15.6" x14ac:dyDescent="0.3">
      <c r="B8" s="6"/>
      <c r="C8" s="6">
        <v>35000.99</v>
      </c>
      <c r="D8" s="2" t="s">
        <v>42</v>
      </c>
      <c r="E8" s="7">
        <v>0.03</v>
      </c>
      <c r="F8" s="8">
        <v>600</v>
      </c>
    </row>
    <row r="9" spans="2:6" ht="15.6" x14ac:dyDescent="0.3">
      <c r="B9" s="6"/>
      <c r="C9" s="6"/>
      <c r="D9" s="2"/>
      <c r="E9" s="7"/>
      <c r="F9" s="8"/>
    </row>
    <row r="10" spans="2:6" ht="15.6" x14ac:dyDescent="0.3">
      <c r="B10" s="6">
        <v>35001</v>
      </c>
      <c r="C10" s="6"/>
      <c r="D10" s="2" t="s">
        <v>40</v>
      </c>
      <c r="E10" s="7">
        <v>0.08</v>
      </c>
      <c r="F10" s="8">
        <v>1200</v>
      </c>
    </row>
    <row r="11" spans="2:6" ht="15.6" x14ac:dyDescent="0.3">
      <c r="B11" s="6"/>
      <c r="C11" s="6">
        <v>50000.99</v>
      </c>
      <c r="D11" s="2" t="s">
        <v>43</v>
      </c>
      <c r="E11" s="7">
        <v>0.08</v>
      </c>
      <c r="F11" s="8">
        <v>1800</v>
      </c>
    </row>
    <row r="12" spans="2:6" ht="15.6" x14ac:dyDescent="0.3">
      <c r="B12" s="6"/>
      <c r="C12" s="6"/>
      <c r="D12" s="2"/>
      <c r="E12" s="7"/>
      <c r="F12" s="8"/>
    </row>
    <row r="13" spans="2:6" ht="15.6" x14ac:dyDescent="0.3">
      <c r="B13" s="6">
        <v>50001</v>
      </c>
      <c r="C13" s="6"/>
      <c r="D13" s="2" t="s">
        <v>44</v>
      </c>
      <c r="E13" s="7">
        <v>0.14000000000000001</v>
      </c>
      <c r="F13" s="8">
        <v>2800</v>
      </c>
    </row>
    <row r="14" spans="2:6" ht="15.6" x14ac:dyDescent="0.3">
      <c r="B14" s="6"/>
      <c r="C14" s="6">
        <v>70000.990000000005</v>
      </c>
      <c r="D14" s="2" t="s">
        <v>45</v>
      </c>
      <c r="E14" s="7">
        <v>0.14000000000000001</v>
      </c>
      <c r="F14" s="8">
        <v>4600</v>
      </c>
    </row>
    <row r="15" spans="2:6" ht="15.6" x14ac:dyDescent="0.3">
      <c r="B15" s="6"/>
      <c r="C15" s="6"/>
      <c r="D15" s="2"/>
      <c r="E15" s="7"/>
      <c r="F15" s="8"/>
    </row>
    <row r="16" spans="2:6" ht="15.6" x14ac:dyDescent="0.3">
      <c r="B16" s="6">
        <v>70001</v>
      </c>
      <c r="C16" s="6"/>
      <c r="D16" s="2" t="s">
        <v>46</v>
      </c>
      <c r="E16" s="7">
        <v>0.21</v>
      </c>
      <c r="F16" s="8">
        <v>6300</v>
      </c>
    </row>
    <row r="17" spans="2:6" ht="15.6" x14ac:dyDescent="0.3">
      <c r="B17" s="6"/>
      <c r="C17" s="6">
        <v>100000.99</v>
      </c>
      <c r="D17" s="2" t="s">
        <v>47</v>
      </c>
      <c r="E17" s="7">
        <v>0.21</v>
      </c>
      <c r="F17" s="8">
        <v>10900</v>
      </c>
    </row>
    <row r="18" spans="2:6" ht="15.6" x14ac:dyDescent="0.3">
      <c r="B18" s="6"/>
      <c r="C18" s="6"/>
      <c r="D18" s="2"/>
      <c r="E18" s="7"/>
      <c r="F18" s="8"/>
    </row>
    <row r="19" spans="2:6" ht="15.6" x14ac:dyDescent="0.3">
      <c r="B19" s="6">
        <v>100001</v>
      </c>
      <c r="C19" s="6"/>
      <c r="D19" s="2" t="s">
        <v>48</v>
      </c>
      <c r="E19" s="7">
        <v>0.24</v>
      </c>
      <c r="F19" s="8">
        <v>36000</v>
      </c>
    </row>
    <row r="20" spans="2:6" ht="15.6" x14ac:dyDescent="0.3">
      <c r="B20" s="6"/>
      <c r="C20" s="6">
        <v>250000.99</v>
      </c>
      <c r="D20" s="2" t="s">
        <v>49</v>
      </c>
      <c r="E20" s="7">
        <v>0.24</v>
      </c>
      <c r="F20" s="8">
        <v>46900</v>
      </c>
    </row>
    <row r="21" spans="2:6" ht="15.6" x14ac:dyDescent="0.3">
      <c r="B21" s="6"/>
      <c r="C21" s="6"/>
      <c r="D21" s="2"/>
      <c r="E21" s="7"/>
      <c r="F21" s="8"/>
    </row>
    <row r="22" spans="2:6" ht="15.6" x14ac:dyDescent="0.3">
      <c r="B22" s="6">
        <v>250001</v>
      </c>
      <c r="C22" s="6"/>
      <c r="D22" s="2" t="s">
        <v>50</v>
      </c>
      <c r="E22" s="7">
        <v>0.245</v>
      </c>
      <c r="F22" s="8">
        <v>36750</v>
      </c>
    </row>
    <row r="23" spans="2:6" ht="15.6" x14ac:dyDescent="0.3">
      <c r="B23" s="6"/>
      <c r="C23" s="6">
        <v>400000.99</v>
      </c>
      <c r="D23" s="2" t="s">
        <v>51</v>
      </c>
      <c r="E23" s="7">
        <v>0.245</v>
      </c>
      <c r="F23" s="8">
        <v>83650</v>
      </c>
    </row>
    <row r="24" spans="2:6" ht="15.6" x14ac:dyDescent="0.3">
      <c r="B24" s="6"/>
      <c r="C24" s="6"/>
      <c r="D24" s="2"/>
      <c r="E24" s="7"/>
      <c r="F24" s="8"/>
    </row>
    <row r="25" spans="2:6" ht="15.6" x14ac:dyDescent="0.3">
      <c r="B25" s="6">
        <v>400001</v>
      </c>
      <c r="C25" s="6"/>
      <c r="D25" s="2" t="s">
        <v>52</v>
      </c>
      <c r="E25" s="7">
        <v>0.25</v>
      </c>
      <c r="F25" s="8" t="s">
        <v>53</v>
      </c>
    </row>
    <row r="26" spans="2:6" ht="15.6" x14ac:dyDescent="0.3">
      <c r="B26" s="6"/>
      <c r="C26" s="6">
        <v>600000.99</v>
      </c>
      <c r="D26" s="2" t="s">
        <v>54</v>
      </c>
      <c r="E26" s="7">
        <v>0.25</v>
      </c>
      <c r="F26" s="8">
        <v>133650</v>
      </c>
    </row>
    <row r="27" spans="2:6" ht="15.6" x14ac:dyDescent="0.3">
      <c r="B27" s="6"/>
      <c r="C27" s="6"/>
      <c r="D27" s="2"/>
      <c r="E27" s="7"/>
      <c r="F27" s="8"/>
    </row>
    <row r="28" spans="2:6" ht="15.6" x14ac:dyDescent="0.3">
      <c r="B28" s="6">
        <v>600001</v>
      </c>
      <c r="C28" s="6"/>
      <c r="D28" s="2" t="s">
        <v>55</v>
      </c>
      <c r="E28" s="7">
        <v>0.26</v>
      </c>
      <c r="F28" s="8">
        <v>104000</v>
      </c>
    </row>
    <row r="29" spans="2:6" ht="15.6" x14ac:dyDescent="0.3">
      <c r="B29" s="2"/>
      <c r="C29" s="6">
        <v>1000000.99</v>
      </c>
      <c r="D29" s="2" t="s">
        <v>56</v>
      </c>
      <c r="E29" s="7">
        <v>0.26</v>
      </c>
      <c r="F29" s="8">
        <v>237650</v>
      </c>
    </row>
    <row r="30" spans="2:6" ht="15.6" x14ac:dyDescent="0.3">
      <c r="B30" s="6"/>
      <c r="C30" s="6"/>
      <c r="D30" s="2"/>
      <c r="E30" s="7"/>
      <c r="F30" s="8"/>
    </row>
    <row r="31" spans="2:6" ht="15.6" x14ac:dyDescent="0.3">
      <c r="B31" s="6">
        <v>1000001</v>
      </c>
      <c r="C31" s="6"/>
      <c r="D31" s="2" t="s">
        <v>57</v>
      </c>
      <c r="E31" s="7">
        <v>0.28000000000000003</v>
      </c>
      <c r="F31" s="8">
        <v>280000</v>
      </c>
    </row>
    <row r="32" spans="2:6" ht="15.6" x14ac:dyDescent="0.3">
      <c r="B32" s="2"/>
      <c r="C32" s="9">
        <v>2000000</v>
      </c>
      <c r="D32" s="2" t="s">
        <v>58</v>
      </c>
      <c r="E32" s="7">
        <v>0.28000000000000003</v>
      </c>
      <c r="F32" s="8">
        <v>517650</v>
      </c>
    </row>
    <row r="33" spans="2:6" ht="15.6" x14ac:dyDescent="0.3">
      <c r="B33" s="2"/>
      <c r="C33" s="2"/>
      <c r="D33" s="2"/>
      <c r="E33" s="3"/>
      <c r="F33" s="4"/>
    </row>
    <row r="34" spans="2:6" ht="15.6" x14ac:dyDescent="0.3">
      <c r="B34" s="9">
        <v>2000001</v>
      </c>
      <c r="C34" s="2"/>
      <c r="D34" s="2"/>
      <c r="E34" s="7">
        <v>0.3</v>
      </c>
      <c r="F34" s="4"/>
    </row>
  </sheetData>
  <sheetProtection sheet="1" objects="1" scenarios="1"/>
  <mergeCells count="1">
    <mergeCell ref="B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5423B-1D53-41F3-B2FF-41312052C775}">
  <sheetPr codeName="Sheet4"/>
  <dimension ref="B1:D45"/>
  <sheetViews>
    <sheetView topLeftCell="A4" workbookViewId="0">
      <selection activeCell="C10" sqref="C10:D10"/>
    </sheetView>
  </sheetViews>
  <sheetFormatPr defaultRowHeight="14.4" x14ac:dyDescent="0.3"/>
  <cols>
    <col min="2" max="2" width="44.44140625" bestFit="1" customWidth="1"/>
    <col min="4" max="4" width="22.33203125" customWidth="1"/>
  </cols>
  <sheetData>
    <row r="1" spans="2:4" ht="15" thickBot="1" x14ac:dyDescent="0.35"/>
    <row r="2" spans="2:4" ht="18" x14ac:dyDescent="0.35">
      <c r="B2" s="21" t="s">
        <v>60</v>
      </c>
      <c r="C2" s="22"/>
      <c r="D2" s="23"/>
    </row>
    <row r="3" spans="2:4" x14ac:dyDescent="0.3">
      <c r="B3" s="12" t="s">
        <v>0</v>
      </c>
      <c r="C3" s="36">
        <v>35000</v>
      </c>
      <c r="D3" s="37"/>
    </row>
    <row r="4" spans="2:4" x14ac:dyDescent="0.3">
      <c r="B4" s="44"/>
      <c r="C4" s="45"/>
      <c r="D4" s="33"/>
    </row>
    <row r="5" spans="2:4" x14ac:dyDescent="0.3">
      <c r="B5" s="12" t="s">
        <v>1</v>
      </c>
      <c r="C5" s="24">
        <f>9000</f>
        <v>9000</v>
      </c>
      <c r="D5" s="25"/>
    </row>
    <row r="6" spans="2:4" x14ac:dyDescent="0.3">
      <c r="B6" s="12" t="s">
        <v>2</v>
      </c>
      <c r="C6" s="19" t="s">
        <v>62</v>
      </c>
      <c r="D6" s="13">
        <f>IF(C6="YES",6000,IF(C6="NO",0,0))</f>
        <v>0</v>
      </c>
    </row>
    <row r="7" spans="2:4" x14ac:dyDescent="0.3">
      <c r="B7" s="12" t="s">
        <v>3</v>
      </c>
      <c r="C7" s="19" t="s">
        <v>63</v>
      </c>
      <c r="D7" s="13">
        <f>IF(C7="YES",4000,IF(C7="NO",0,0))</f>
        <v>0</v>
      </c>
    </row>
    <row r="8" spans="2:4" x14ac:dyDescent="0.3">
      <c r="B8" s="12" t="s">
        <v>4</v>
      </c>
      <c r="C8" s="19" t="s">
        <v>64</v>
      </c>
      <c r="D8" s="13">
        <f>IF(C8="YES",3500,IF(C8="NO",0,0))</f>
        <v>3500</v>
      </c>
    </row>
    <row r="9" spans="2:4" x14ac:dyDescent="0.3">
      <c r="B9" s="12" t="s">
        <v>5</v>
      </c>
      <c r="C9" s="26" t="s">
        <v>61</v>
      </c>
      <c r="D9" s="27"/>
    </row>
    <row r="10" spans="2:4" x14ac:dyDescent="0.3">
      <c r="B10" s="12" t="s">
        <v>6</v>
      </c>
      <c r="C10" s="28">
        <v>4000</v>
      </c>
      <c r="D10" s="29"/>
    </row>
    <row r="11" spans="2:4" x14ac:dyDescent="0.3">
      <c r="B11" s="12" t="s">
        <v>7</v>
      </c>
      <c r="C11" s="28" t="s">
        <v>61</v>
      </c>
      <c r="D11" s="29"/>
    </row>
    <row r="12" spans="2:4" x14ac:dyDescent="0.3">
      <c r="B12" s="12" t="s">
        <v>8</v>
      </c>
      <c r="C12" s="28">
        <v>3000</v>
      </c>
      <c r="D12" s="29"/>
    </row>
    <row r="13" spans="2:4" ht="15" thickBot="1" x14ac:dyDescent="0.35">
      <c r="B13" s="14" t="s">
        <v>9</v>
      </c>
      <c r="C13" s="30" t="s">
        <v>61</v>
      </c>
      <c r="D13" s="31"/>
    </row>
    <row r="14" spans="2:4" ht="15" thickBot="1" x14ac:dyDescent="0.35"/>
    <row r="15" spans="2:4" ht="18" x14ac:dyDescent="0.35">
      <c r="B15" s="21" t="s">
        <v>10</v>
      </c>
      <c r="C15" s="22"/>
      <c r="D15" s="23"/>
    </row>
    <row r="16" spans="2:4" x14ac:dyDescent="0.3">
      <c r="B16" s="12" t="s">
        <v>11</v>
      </c>
      <c r="C16" s="34" t="s">
        <v>61</v>
      </c>
      <c r="D16" s="35"/>
    </row>
    <row r="17" spans="2:4" x14ac:dyDescent="0.3">
      <c r="B17" s="12" t="s">
        <v>32</v>
      </c>
      <c r="C17" s="36" t="s">
        <v>61</v>
      </c>
      <c r="D17" s="37"/>
    </row>
    <row r="18" spans="2:4" x14ac:dyDescent="0.3">
      <c r="B18" s="12" t="s">
        <v>12</v>
      </c>
      <c r="C18" s="36" t="s">
        <v>61</v>
      </c>
      <c r="D18" s="37"/>
    </row>
    <row r="19" spans="2:4" x14ac:dyDescent="0.3">
      <c r="B19" s="12" t="s">
        <v>33</v>
      </c>
      <c r="C19" s="20">
        <v>1</v>
      </c>
      <c r="D19" s="13">
        <f>IF(ISNUMBER(C19), C19*2000,0)</f>
        <v>2000</v>
      </c>
    </row>
    <row r="20" spans="2:4" x14ac:dyDescent="0.3">
      <c r="B20" s="12" t="s">
        <v>13</v>
      </c>
      <c r="C20" s="20" t="s">
        <v>62</v>
      </c>
      <c r="D20" s="13">
        <f>IF(ISNUMBER(C20), C20*8000,0)</f>
        <v>0</v>
      </c>
    </row>
    <row r="21" spans="2:4" x14ac:dyDescent="0.3">
      <c r="B21" s="12" t="s">
        <v>14</v>
      </c>
      <c r="C21" s="34" t="s">
        <v>61</v>
      </c>
      <c r="D21" s="35"/>
    </row>
    <row r="22" spans="2:4" x14ac:dyDescent="0.3">
      <c r="B22" s="12" t="s">
        <v>15</v>
      </c>
      <c r="C22" s="34" t="s">
        <v>61</v>
      </c>
      <c r="D22" s="35"/>
    </row>
    <row r="23" spans="2:4" ht="15" thickBot="1" x14ac:dyDescent="0.35">
      <c r="B23" s="14" t="s">
        <v>16</v>
      </c>
      <c r="C23" s="38" t="s">
        <v>61</v>
      </c>
      <c r="D23" s="39"/>
    </row>
    <row r="24" spans="2:4" ht="15" thickBot="1" x14ac:dyDescent="0.35"/>
    <row r="25" spans="2:4" ht="18" x14ac:dyDescent="0.35">
      <c r="B25" s="21" t="s">
        <v>17</v>
      </c>
      <c r="C25" s="22"/>
      <c r="D25" s="23"/>
    </row>
    <row r="26" spans="2:4" x14ac:dyDescent="0.3">
      <c r="B26" s="12" t="s">
        <v>18</v>
      </c>
      <c r="C26" s="36" t="s">
        <v>61</v>
      </c>
      <c r="D26" s="37"/>
    </row>
    <row r="27" spans="2:4" x14ac:dyDescent="0.3">
      <c r="B27" s="12" t="s">
        <v>19</v>
      </c>
      <c r="C27" s="36">
        <v>5000</v>
      </c>
      <c r="D27" s="37"/>
    </row>
    <row r="28" spans="2:4" x14ac:dyDescent="0.3">
      <c r="B28" s="12" t="s">
        <v>20</v>
      </c>
      <c r="C28" s="36" t="s">
        <v>61</v>
      </c>
      <c r="D28" s="37"/>
    </row>
    <row r="29" spans="2:4" x14ac:dyDescent="0.3">
      <c r="B29" s="12" t="s">
        <v>21</v>
      </c>
      <c r="C29" s="20" t="s">
        <v>62</v>
      </c>
      <c r="D29" s="13">
        <f>IF(ISNUMBER(C29), C29*6000,0)</f>
        <v>0</v>
      </c>
    </row>
    <row r="30" spans="2:4" x14ac:dyDescent="0.3">
      <c r="B30" s="12" t="s">
        <v>22</v>
      </c>
      <c r="C30" s="20" t="s">
        <v>62</v>
      </c>
      <c r="D30" s="13">
        <f>IF(ISNUMBER(C30), C30*14000,0)</f>
        <v>0</v>
      </c>
    </row>
    <row r="31" spans="2:4" ht="15" thickBot="1" x14ac:dyDescent="0.35">
      <c r="B31" s="14" t="s">
        <v>23</v>
      </c>
      <c r="C31" s="38" t="s">
        <v>61</v>
      </c>
      <c r="D31" s="39"/>
    </row>
    <row r="32" spans="2:4" ht="15" thickBot="1" x14ac:dyDescent="0.35"/>
    <row r="33" spans="2:4" ht="18" x14ac:dyDescent="0.35">
      <c r="B33" s="21" t="s">
        <v>24</v>
      </c>
      <c r="C33" s="22"/>
      <c r="D33" s="23"/>
    </row>
    <row r="34" spans="2:4" x14ac:dyDescent="0.3">
      <c r="B34" s="12" t="s">
        <v>25</v>
      </c>
      <c r="C34" s="56">
        <f>SUM(C3)</f>
        <v>35000</v>
      </c>
      <c r="D34" s="57"/>
    </row>
    <row r="35" spans="2:4" x14ac:dyDescent="0.3">
      <c r="B35" s="12" t="s">
        <v>26</v>
      </c>
      <c r="C35" s="32">
        <f>IF(C3&lt;&gt;0,SUM(C5,D6:D8,C9:D13,C16:D18,D19:D20,C21:D23,C26:D28,D29:D30,C31),0)</f>
        <v>26500</v>
      </c>
      <c r="D35" s="33"/>
    </row>
    <row r="36" spans="2:4" x14ac:dyDescent="0.3">
      <c r="B36" s="15" t="s">
        <v>34</v>
      </c>
      <c r="C36" s="46">
        <f>IF((C34-C35)&lt;0,0,C34-C35)</f>
        <v>8500</v>
      </c>
      <c r="D36" s="47"/>
    </row>
    <row r="37" spans="2:4" x14ac:dyDescent="0.3">
      <c r="B37" s="16" t="s">
        <v>59</v>
      </c>
      <c r="C37" s="48">
        <f>IFERROR(LOOKUP(C36,'Tax Rates'!B2:B34,'Tax Rates'!E2:E34),"")</f>
        <v>0.01</v>
      </c>
      <c r="D37" s="49"/>
    </row>
    <row r="38" spans="2:4" x14ac:dyDescent="0.3">
      <c r="B38" s="16" t="str">
        <f>IFERROR(LOOKUP(C36,'Tax Rates'!C2:C32,'Tax Rates'!D2:D32),"")</f>
        <v>On the First 5,000 </v>
      </c>
      <c r="C38" s="50">
        <f ca="1">IFERROR(LOOKUP(C36,'Tax Rates'!C2:C32,'Tax Rates'!F2:F34),0)</f>
        <v>0</v>
      </c>
      <c r="D38" s="51"/>
    </row>
    <row r="39" spans="2:4" ht="15" thickBot="1" x14ac:dyDescent="0.35">
      <c r="B39" s="17" t="str">
        <f>IFERROR(LOOKUP(C36,'Tax Rates'!B3:B33,'Tax Rates'!D3:D33),"")</f>
        <v>Next 15,000 </v>
      </c>
      <c r="C39" s="52">
        <f>IFERROR(IF(((C36-INDEX('Tax Rates'!B2:B34,MATCH(Sample!C37,'Tax Rates'!E2:E34,0)))*C37)&gt;0,((C36-INDEX('Tax Rates'!B2:B34,MATCH(Sample!C37,'Tax Rates'!E2:E34,0))+1)*C37),0),0)</f>
        <v>35</v>
      </c>
      <c r="D39" s="53"/>
    </row>
    <row r="40" spans="2:4" ht="15" thickBot="1" x14ac:dyDescent="0.35">
      <c r="B40" s="10"/>
      <c r="D40" s="1"/>
    </row>
    <row r="41" spans="2:4" ht="18" x14ac:dyDescent="0.35">
      <c r="B41" s="11" t="s">
        <v>27</v>
      </c>
      <c r="C41" s="54">
        <f ca="1">SUM(C38:D39)</f>
        <v>35</v>
      </c>
      <c r="D41" s="55"/>
    </row>
    <row r="42" spans="2:4" x14ac:dyDescent="0.3">
      <c r="B42" s="12" t="s">
        <v>28</v>
      </c>
      <c r="C42" s="36" t="s">
        <v>61</v>
      </c>
      <c r="D42" s="37"/>
    </row>
    <row r="43" spans="2:4" x14ac:dyDescent="0.3">
      <c r="B43" s="12" t="s">
        <v>29</v>
      </c>
      <c r="C43" s="40">
        <f>IF(C36=0,0,IF(AND(C36&gt;0,C36&lt;=35000),400,0))</f>
        <v>400</v>
      </c>
      <c r="D43" s="41"/>
    </row>
    <row r="44" spans="2:4" x14ac:dyDescent="0.3">
      <c r="B44" s="12" t="s">
        <v>30</v>
      </c>
      <c r="C44" s="40">
        <f>IF(AND(C36&lt;=35000,C7="YES"),400,0)</f>
        <v>0</v>
      </c>
      <c r="D44" s="41"/>
    </row>
    <row r="45" spans="2:4" ht="18.600000000000001" thickBot="1" x14ac:dyDescent="0.4">
      <c r="B45" s="18" t="s">
        <v>31</v>
      </c>
      <c r="C45" s="42">
        <f ca="1">IF(SUM(C42:D44)&gt;C41,0,C41-SUM(C42:D44))</f>
        <v>0</v>
      </c>
      <c r="D45" s="43"/>
    </row>
  </sheetData>
  <sheetProtection sheet="1" objects="1" scenarios="1"/>
  <mergeCells count="33">
    <mergeCell ref="C17:D17"/>
    <mergeCell ref="B2:D2"/>
    <mergeCell ref="C3:D3"/>
    <mergeCell ref="B4:D4"/>
    <mergeCell ref="C5:D5"/>
    <mergeCell ref="C9:D9"/>
    <mergeCell ref="C10:D10"/>
    <mergeCell ref="C11:D11"/>
    <mergeCell ref="C12:D12"/>
    <mergeCell ref="C13:D13"/>
    <mergeCell ref="B15:D15"/>
    <mergeCell ref="C16:D16"/>
    <mergeCell ref="C35:D35"/>
    <mergeCell ref="C18:D18"/>
    <mergeCell ref="C21:D21"/>
    <mergeCell ref="C22:D22"/>
    <mergeCell ref="C23:D23"/>
    <mergeCell ref="B25:D25"/>
    <mergeCell ref="C26:D26"/>
    <mergeCell ref="C27:D27"/>
    <mergeCell ref="C28:D28"/>
    <mergeCell ref="C31:D31"/>
    <mergeCell ref="B33:D33"/>
    <mergeCell ref="C34:D34"/>
    <mergeCell ref="C43:D43"/>
    <mergeCell ref="C44:D44"/>
    <mergeCell ref="C45:D45"/>
    <mergeCell ref="C36:D36"/>
    <mergeCell ref="C37:D37"/>
    <mergeCell ref="C38:D38"/>
    <mergeCell ref="C39:D39"/>
    <mergeCell ref="C41:D41"/>
    <mergeCell ref="C42:D42"/>
  </mergeCells>
  <conditionalFormatting sqref="C6:C8">
    <cfRule type="expression" dxfId="2" priority="2">
      <formula>$C6="YES"</formula>
    </cfRule>
    <cfRule type="expression" dxfId="1" priority="3">
      <formula>$C2="YES"</formula>
    </cfRule>
  </conditionalFormatting>
  <conditionalFormatting sqref="C6:C8">
    <cfRule type="expression" dxfId="0" priority="1">
      <formula>C6="NO"</formula>
    </cfRule>
  </conditionalFormatting>
  <dataValidations count="27">
    <dataValidation allowBlank="1" showInputMessage="1" showErrorMessage="1" prompt="Enter your annual income" sqref="C3:D3" xr:uid="{48F3B8CD-A0F7-49E1-B7D6-5FE3548E923B}"/>
    <dataValidation allowBlank="1" showInputMessage="1" showErrorMessage="1" prompt="Additional rebate of Max RM400 is granted to an individual whose chargeable income does not exceed RM35,000 and where he/she has been allowed a deduction of RM4,000 for the spouse and elects for cell C7._x000a_" sqref="C44:D44" xr:uid="{EAAC04D5-A93B-4BB7-9726-4AE959BFDC82}"/>
    <dataValidation allowBlank="1" showInputMessage="1" showErrorMessage="1" prompt="A rebate of Max RM400 is granted to an individual whose chargeable income does not exceed RM35,000" sqref="C43" xr:uid="{C7BCE6BA-99C9-4F8D-9422-1D88968D7970}"/>
    <dataValidation allowBlank="1" showInputMessage="1" prompt="Total Zakat and Fitrah contributions in 2019" sqref="C42" xr:uid="{8EEFE960-97B3-4C3A-9B67-A84ADB278D5A}"/>
    <dataValidation type="list" allowBlank="1" showInputMessage="1" showErrorMessage="1" error="Please select a number" prompt="Select number of children that have any disabilities for additional tax relief of RM6,000 for each unmarried child" sqref="C29" xr:uid="{4E5255B2-4A7B-43C3-BEF4-2787AFC7C44B}">
      <formula1>"0,1,2,3,4,5,6,7,8,9,10,11,12,13,14,15"</formula1>
    </dataValidation>
    <dataValidation type="list" allowBlank="1" showInputMessage="1" showErrorMessage="1" error="Please select a number" prompt="Only include disable children above the age of 18 that are not married and studying full time for their diploma (locally) or degree (overseas) or higher, addistional tax relief of RM14,000 for each" sqref="C30" xr:uid="{BB0BC0BE-D8C6-40F2-A393-2D19E9B8610C}">
      <formula1>"0,1,2,3,4,5,6,7,8,9,10,11,12,13,14,15"</formula1>
    </dataValidation>
    <dataValidation type="decimal" allowBlank="1" showInputMessage="1" showErrorMessage="1" error="Maximun Family Medical Examinations and Expenses is RM6,000" prompt="Up to RM6,000 - Total cost of medical examinations(Max RM500) and hospital bills for serious diseases for self, spouse and children (expanded to cover the cost of fertility treatment for married couples)" sqref="C26" xr:uid="{1935A232-0F50-4B69-8A4A-3B305181D579}">
      <formula1>0</formula1>
      <formula2>6000</formula2>
    </dataValidation>
    <dataValidation type="decimal" allowBlank="1" showInputMessage="1" showErrorMessage="1" error="Maximun Purchase of Supporting Equipment is RM6,000" prompt="Up to RM6,000 - For cost of basic supporting equipment for disabled individual (self, spouse, child or parent)" sqref="C22" xr:uid="{DE338E0B-2618-46E4-A297-48955BFF01B9}">
      <formula1>0</formula1>
      <formula2>6000</formula2>
    </dataValidation>
    <dataValidation type="decimal" allowBlank="1" showInputMessage="1" showErrorMessage="1" error="Maximun Total SSPN Savings is RM8,000" prompt="Up to RM8,000 - Net savings with SSPN for your children's higher education with PTPTN" sqref="C21" xr:uid="{954E25F0-D30A-4641-8D1F-FF3555991F07}">
      <formula1>0</formula1>
      <formula2>8000</formula2>
    </dataValidation>
    <dataValidation type="list" allowBlank="1" showInputMessage="1" showErrorMessage="1" error="Please select a number" prompt="Include all children below the age of 18. For children above the age of 18, only include if they are not married and still studying full time, tax relief of RM2,000 for each" sqref="C19" xr:uid="{1D3829A2-6C83-4F97-B33B-C41D4D5CB89A}">
      <formula1>"0,1,2,3,4,5,6,7,8,9,10,11,12,13,14,15"</formula1>
    </dataValidation>
    <dataValidation type="list" allowBlank="1" showInputMessage="1" showErrorMessage="1" error="Please select a number" prompt="Only include children aobve the age of 18 that are not married and studying full time for their diploma (locally) or degree (overseas) or higher, additional tax relief of RM8,000 for each" sqref="C20" xr:uid="{EA29B4EF-52B1-4A67-928C-294948D45C6A}">
      <formula1>"0,1,2,3,4,5,6,7,8,9,10,11,12,13,14,15"</formula1>
    </dataValidation>
    <dataValidation type="decimal" allowBlank="1" showInputMessage="1" showErrorMessage="1" error="Maximun Additional Deduction is RM2,500" promptTitle="Additional deduction" prompt="Up to RM2,500 - PC, smartphone or tablet for self, spouse or child and not for business use" sqref="C17" xr:uid="{FF90272D-FF44-4977-BBDC-B706C768B2E5}">
      <formula1>0</formula1>
      <formula2>2500</formula2>
    </dataValidation>
    <dataValidation type="decimal" allowBlank="1" showInputMessage="1" showErrorMessage="1" error="Maximun Lifestyle Expenses is RM2,500" prompt="Up to RM2,500 - Books and magazines, PC or smartphone, sports quipment or gym membership, internet subscription" sqref="C16" xr:uid="{3AFD981E-4E99-46D1-B728-DA5E493BB4DE}">
      <formula1>0</formula1>
      <formula2>2500</formula2>
    </dataValidation>
    <dataValidation type="decimal" allowBlank="1" showInputMessage="1" showErrorMessage="1" error="Maximun Education Fees for Self is RM7,000" prompt="Up to RM7,000 - For professional and techincal qualication courses or Masters and PHD in any field" sqref="C18" xr:uid="{45B20258-4014-457E-82AE-2E9D36C71467}">
      <formula1>0</formula1>
      <formula2>7000</formula2>
    </dataValidation>
    <dataValidation type="decimal" allowBlank="1" showInputMessage="1" showErrorMessage="1" errorTitle="Please Change the Amount" error="Maximun Medical or Education Insurance Premiums is RM3,000" prompt="Up to RM3,000 - Total premiums paid for medical and education insurance" sqref="C13" xr:uid="{4DD9C73F-2E4C-40C0-859D-1DF11D3E1D81}">
      <formula1>0</formula1>
      <formula2>3000</formula2>
    </dataValidation>
    <dataValidation type="decimal" allowBlank="1" showInputMessage="1" showErrorMessage="1" errorTitle="Please Change the Amount" error="Maximun Private Retirement Scheme &amp; Deferred Annuity (PRS) is RM3,000" prompt="Up to RM3,000 - Private retirement scheme and deferred annuity (PRS) approved by the Securities Commission" sqref="C12" xr:uid="{C6B6AE55-E39C-41FB-975B-A01D6D040055}">
      <formula1>0</formula1>
      <formula2>3000</formula2>
    </dataValidation>
    <dataValidation type="decimal" allowBlank="1" showInputMessage="1" showErrorMessage="1" errorTitle="Please Change the Amount" error="Maximum Life Insurance Premiums is RM3,000" prompt="Up to RM3,000 - Total premiums paid for life insurance" sqref="C11" xr:uid="{B4F43763-A4CC-4053-BE12-E6860395A039}">
      <formula1>0</formula1>
      <formula2>3000</formula2>
    </dataValidation>
    <dataValidation type="list" allowBlank="1" showInputMessage="1" showErrorMessage="1" error="Please select YES/NO" prompt="Select YES if your spouse no working or elects for combined assesment for tax relief of RM4,000" sqref="C7" xr:uid="{B25B9CC6-BFCB-42BD-9E8B-1D674679865D}">
      <formula1>"YES,NO"</formula1>
    </dataValidation>
    <dataValidation type="list" allowBlank="1" showInputMessage="1" showErrorMessage="1" error="Please select YES/NO" prompt="Select YES if you have any disabilities for tax relief of RM6,000" sqref="C6" xr:uid="{41B4189D-5D06-4FD4-8D65-9E048CB667B9}">
      <formula1>"YES,NO"</formula1>
    </dataValidation>
    <dataValidation allowBlank="1" showInputMessage="1" showErrorMessage="1" prompt="RM9,000 in tax relief for Self Relief" sqref="C5" xr:uid="{B54F17B2-1F8F-41B7-BE22-3237415ED13C}"/>
    <dataValidation type="decimal" allowBlank="1" showInputMessage="1" showErrorMessage="1" error="Maximum Purchase of Breastfeeding Equipment is RM1,000" prompt="Up to RM1,000 in tax relief for breastfeeding equipment costs (applicable to working women with child aged up to 2 years and can be claimed once every 2 years)" sqref="C31" xr:uid="{03D04B73-3DB7-4E26-A3FB-0478ECA9801E}">
      <formula1>0</formula1>
      <formula2>1000</formula2>
    </dataValidation>
    <dataValidation type="decimal" allowBlank="1" showInputMessage="1" showErrorMessage="1" error="Maximun Child Care and Kindergarten Fees is RM2,000" prompt="Up to RM2,000 in tax relief for child care cost and kindergarten enrolment" sqref="C23" xr:uid="{BBD44D94-D796-4752-AABC-879FF30BC68C}">
      <formula1>0</formula1>
      <formula2>2000</formula2>
    </dataValidation>
    <dataValidation type="decimal" allowBlank="1" showInputMessage="1" showErrorMessage="1" errorTitle="Please Change the Amount" error="Maximum EPF Amount is RM4,000" prompt="Up to RM4,000 in tax relief for EPF" sqref="C10" xr:uid="{83A2A733-0EEF-4557-BDD4-25C9A8739724}">
      <formula1>0</formula1>
      <formula2>4000</formula2>
    </dataValidation>
    <dataValidation type="decimal" allowBlank="1" showInputMessage="1" showErrorMessage="1" errorTitle="Please Change the Amount" error="Maximum SOSCO is RM250" prompt="Up to RM250 in tax relief for SOCSO" sqref="C9" xr:uid="{80EA632E-6ED9-4510-8455-54BAA67018DA}">
      <formula1>0</formula1>
      <formula2>250</formula2>
    </dataValidation>
    <dataValidation type="list" allowBlank="1" showInputMessage="1" showErrorMessage="1" error="Please select YES/NO" prompt="Select YES if your spouse has any disabilities for tax relief of RM3,500" sqref="C8" xr:uid="{DCE1B40F-5B1C-4338-9EDD-1EF2429FC1A9}">
      <formula1>"YES,NO"</formula1>
    </dataValidation>
    <dataValidation type="custom" allowBlank="1" showInputMessage="1" showErrorMessage="1" error="Maximun Parental Care Living Fee is RM3,000 (Both Parent) or RM1,500 (Either Parent) / You can only claim for either one relief for C27 or C28._x000a_ _x000a_Enter amount 0 or click CANCEL if you have enter an amount for cell C27." prompt="Up to RM1,500 (Either Parent) / Up to RM3,000 (Both Parent) - If more than one individual claim this deduction, the amount of deduction has to be equally apportioned. Each parent annual income does NOT exceed RM24,000" sqref="C28:D28" xr:uid="{373FE4A4-1888-4CBD-87FD-09475D15DDBF}">
      <formula1>OR(AND(C28&lt;=3000, NOT(ISNUMBER(C27))), AND(C28&lt;=3000,C27=0))</formula1>
    </dataValidation>
    <dataValidation type="custom" allowBlank="1" showInputMessage="1" showErrorMessage="1" error="Maximun Parental Care Medical Expenses is RM5,000 / You can only claim for either one relief for C27 or C28._x000a__x000a_Enter amount 0 or click CANCEL if you have enter an amount for cell C28._x000a_." prompt="Up to RM5,000 - Medical expenses and nursing care for own parents" sqref="C27:D27" xr:uid="{898079E1-ECF7-4A09-AAF5-779769017E3E}">
      <formula1>OR(AND(C27&lt;=5000, NOT(ISNUMBER(C28))), AND(C27&lt;=5000, C28=0))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Button 6">
              <controlPr defaultSize="0" print="0" autoFill="0" autoPict="0" macro="[0]!Module1.btnReset">
                <anchor moveWithCells="1" sizeWithCells="1">
                  <from>
                    <xdr:col>2</xdr:col>
                    <xdr:colOff>601980</xdr:colOff>
                    <xdr:row>45</xdr:row>
                    <xdr:rowOff>167640</xdr:rowOff>
                  </from>
                  <to>
                    <xdr:col>4</xdr:col>
                    <xdr:colOff>38100</xdr:colOff>
                    <xdr:row>47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Tax Relief Template</vt:lpstr>
      <vt:lpstr>Tax Rates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Dylon1027</dc:creator>
  <cp:lastModifiedBy>Dylon1027</cp:lastModifiedBy>
  <dcterms:created xsi:type="dcterms:W3CDTF">2021-08-08T04:11:59Z</dcterms:created>
  <dcterms:modified xsi:type="dcterms:W3CDTF">2021-08-29T14:39:26Z</dcterms:modified>
</cp:coreProperties>
</file>